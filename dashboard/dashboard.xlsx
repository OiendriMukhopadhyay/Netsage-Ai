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6DB"/>
      </left>
      <right style="thin">
        <color rgb="00B7C6DB"/>
      </right>
      <top style="thin">
        <color rgb="00B7C6DB"/>
      </top>
      <bottom style="thin">
        <color rgb="00B7C6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5" fillId="0" borderId="1" pivotButton="0" quotePrefix="0" xfId="0"/>
    <xf numFmtId="0" fontId="0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Issue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'Dashboard'!$B$6:$B$13</f>
            </numRef>
          </cat>
          <val>
            <numRef>
              <f>'Dashboard'!$C$6:$C$13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Issue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Human Review Outcomes</a:t>
            </a:r>
          </a:p>
        </rich>
      </tx>
    </title>
    <plotArea>
      <pieChart>
        <varyColors val="1"/>
        <ser>
          <idx val="0"/>
          <order val="0"/>
          <tx>
            <strRef>
              <f>'Dashboard'!C17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'Dashboard'!$B$18:$B$20</f>
            </numRef>
          </cat>
          <val>
            <numRef>
              <f>'Dashboard'!$C$18:$C$20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  <col width="16" customWidth="1" min="7" max="7"/>
  </cols>
  <sheetData>
    <row r="1">
      <c r="A1" s="1" t="inlineStr">
        <is>
          <t>case_id</t>
        </is>
      </c>
      <c r="B1" s="1" t="inlineStr">
        <is>
          <t>concept_tag</t>
        </is>
      </c>
      <c r="C1" s="1" t="inlineStr">
        <is>
          <t>severity</t>
        </is>
      </c>
      <c r="D1" s="1" t="inlineStr">
        <is>
          <t>osi_layer</t>
        </is>
      </c>
      <c r="E1" s="1" t="inlineStr">
        <is>
          <t>ai_confidence</t>
        </is>
      </c>
      <c r="F1" s="1" t="inlineStr">
        <is>
          <t>agrees_with_expected</t>
        </is>
      </c>
      <c r="G1" s="1" t="inlineStr">
        <is>
          <t>review_status</t>
        </is>
      </c>
    </row>
    <row r="2">
      <c r="A2" s="2" t="inlineStr">
        <is>
          <t>C001</t>
        </is>
      </c>
      <c r="B2" s="2" t="inlineStr">
        <is>
          <t>VLAN</t>
        </is>
      </c>
      <c r="C2" s="2" t="inlineStr">
        <is>
          <t>High</t>
        </is>
      </c>
      <c r="D2" s="2" t="inlineStr">
        <is>
          <t>Layer 2</t>
        </is>
      </c>
      <c r="E2" s="2" t="inlineStr">
        <is>
          <t>high</t>
        </is>
      </c>
      <c r="F2" s="2" t="inlineStr">
        <is>
          <t>Yes</t>
        </is>
      </c>
      <c r="G2" s="2" t="inlineStr">
        <is>
          <t>Accepted</t>
        </is>
      </c>
    </row>
    <row r="3">
      <c r="A3" s="2" t="inlineStr">
        <is>
          <t>C002</t>
        </is>
      </c>
      <c r="B3" s="2" t="inlineStr">
        <is>
          <t>VLAN</t>
        </is>
      </c>
      <c r="C3" s="2" t="inlineStr">
        <is>
          <t>Medium</t>
        </is>
      </c>
      <c r="D3" s="2" t="inlineStr">
        <is>
          <t>Layer 2</t>
        </is>
      </c>
      <c r="E3" s="2" t="inlineStr">
        <is>
          <t>high</t>
        </is>
      </c>
      <c r="F3" s="2" t="inlineStr">
        <is>
          <t>Yes</t>
        </is>
      </c>
      <c r="G3" s="2" t="inlineStr">
        <is>
          <t>Accepted</t>
        </is>
      </c>
    </row>
    <row r="4">
      <c r="A4" s="2" t="inlineStr">
        <is>
          <t>C003</t>
        </is>
      </c>
      <c r="B4" s="2" t="inlineStr">
        <is>
          <t>VLAN</t>
        </is>
      </c>
      <c r="C4" s="2" t="inlineStr">
        <is>
          <t>Medium</t>
        </is>
      </c>
      <c r="D4" s="2" t="inlineStr">
        <is>
          <t>Layer 2</t>
        </is>
      </c>
      <c r="E4" s="2" t="inlineStr">
        <is>
          <t>high</t>
        </is>
      </c>
      <c r="F4" s="2" t="inlineStr">
        <is>
          <t>Yes</t>
        </is>
      </c>
      <c r="G4" s="2" t="inlineStr">
        <is>
          <t>Accepted</t>
        </is>
      </c>
    </row>
    <row r="5">
      <c r="A5" s="2" t="inlineStr">
        <is>
          <t>C004</t>
        </is>
      </c>
      <c r="B5" s="2" t="inlineStr">
        <is>
          <t>VLAN</t>
        </is>
      </c>
      <c r="C5" s="2" t="inlineStr">
        <is>
          <t>High</t>
        </is>
      </c>
      <c r="D5" s="2" t="inlineStr">
        <is>
          <t>Layer 3</t>
        </is>
      </c>
      <c r="E5" s="2" t="inlineStr">
        <is>
          <t>high</t>
        </is>
      </c>
      <c r="F5" s="2" t="inlineStr">
        <is>
          <t>Yes</t>
        </is>
      </c>
      <c r="G5" s="2" t="inlineStr">
        <is>
          <t>Accepted</t>
        </is>
      </c>
    </row>
    <row r="6">
      <c r="A6" s="2" t="inlineStr">
        <is>
          <t>C005</t>
        </is>
      </c>
      <c r="B6" s="2" t="inlineStr">
        <is>
          <t>VLAN</t>
        </is>
      </c>
      <c r="C6" s="2" t="inlineStr">
        <is>
          <t>Low</t>
        </is>
      </c>
      <c r="D6" s="2" t="inlineStr">
        <is>
          <t>Layer 2</t>
        </is>
      </c>
      <c r="E6" s="2" t="inlineStr">
        <is>
          <t>low</t>
        </is>
      </c>
      <c r="F6" s="2" t="inlineStr">
        <is>
          <t>No</t>
        </is>
      </c>
      <c r="G6" s="2" t="inlineStr">
        <is>
          <t>Rejected</t>
        </is>
      </c>
    </row>
    <row r="7">
      <c r="A7" s="2" t="inlineStr">
        <is>
          <t>C006</t>
        </is>
      </c>
      <c r="B7" s="2" t="inlineStr">
        <is>
          <t>VLAN</t>
        </is>
      </c>
      <c r="C7" s="2" t="inlineStr">
        <is>
          <t>Medium</t>
        </is>
      </c>
      <c r="D7" s="2" t="inlineStr">
        <is>
          <t>Layer 2</t>
        </is>
      </c>
      <c r="E7" s="2" t="inlineStr">
        <is>
          <t>medium</t>
        </is>
      </c>
      <c r="F7" s="2" t="inlineStr">
        <is>
          <t>No</t>
        </is>
      </c>
      <c r="G7" s="2" t="inlineStr">
        <is>
          <t>Edited</t>
        </is>
      </c>
    </row>
    <row r="8">
      <c r="A8" s="2" t="inlineStr">
        <is>
          <t>C007</t>
        </is>
      </c>
      <c r="B8" s="2" t="inlineStr">
        <is>
          <t>Gateway</t>
        </is>
      </c>
      <c r="C8" s="2" t="inlineStr">
        <is>
          <t>High</t>
        </is>
      </c>
      <c r="D8" s="2" t="inlineStr">
        <is>
          <t>Layer 3</t>
        </is>
      </c>
      <c r="E8" s="2" t="inlineStr">
        <is>
          <t>high</t>
        </is>
      </c>
      <c r="F8" s="2" t="inlineStr">
        <is>
          <t>Yes</t>
        </is>
      </c>
      <c r="G8" s="2" t="inlineStr">
        <is>
          <t>Accepted</t>
        </is>
      </c>
    </row>
    <row r="9">
      <c r="A9" s="2" t="inlineStr">
        <is>
          <t>C008</t>
        </is>
      </c>
      <c r="B9" s="2" t="inlineStr">
        <is>
          <t>Gateway</t>
        </is>
      </c>
      <c r="C9" s="2" t="inlineStr">
        <is>
          <t>High</t>
        </is>
      </c>
      <c r="D9" s="2" t="inlineStr">
        <is>
          <t>Layer 3</t>
        </is>
      </c>
      <c r="E9" s="2" t="inlineStr">
        <is>
          <t>high</t>
        </is>
      </c>
      <c r="F9" s="2" t="inlineStr">
        <is>
          <t>Yes</t>
        </is>
      </c>
      <c r="G9" s="2" t="inlineStr">
        <is>
          <t>Accepted</t>
        </is>
      </c>
    </row>
    <row r="10">
      <c r="A10" s="2" t="inlineStr">
        <is>
          <t>C009</t>
        </is>
      </c>
      <c r="B10" s="2" t="inlineStr">
        <is>
          <t>Gateway</t>
        </is>
      </c>
      <c r="C10" s="2" t="inlineStr">
        <is>
          <t>Medium</t>
        </is>
      </c>
      <c r="D10" s="2" t="inlineStr">
        <is>
          <t>Layer 3</t>
        </is>
      </c>
      <c r="E10" s="2" t="inlineStr">
        <is>
          <t>high</t>
        </is>
      </c>
      <c r="F10" s="2" t="inlineStr">
        <is>
          <t>Yes</t>
        </is>
      </c>
      <c r="G10" s="2" t="inlineStr">
        <is>
          <t>Accepted</t>
        </is>
      </c>
    </row>
    <row r="11">
      <c r="A11" s="2" t="inlineStr">
        <is>
          <t>C010</t>
        </is>
      </c>
      <c r="B11" s="2" t="inlineStr">
        <is>
          <t>Gateway</t>
        </is>
      </c>
      <c r="C11" s="2" t="inlineStr">
        <is>
          <t>Medium</t>
        </is>
      </c>
      <c r="D11" s="2" t="inlineStr">
        <is>
          <t>Layer 3</t>
        </is>
      </c>
      <c r="E11" s="2" t="inlineStr">
        <is>
          <t>medium</t>
        </is>
      </c>
      <c r="F11" s="2" t="inlineStr">
        <is>
          <t>No</t>
        </is>
      </c>
      <c r="G11" s="2" t="inlineStr">
        <is>
          <t>Edited</t>
        </is>
      </c>
    </row>
    <row r="12">
      <c r="A12" s="2" t="inlineStr">
        <is>
          <t>C011</t>
        </is>
      </c>
      <c r="B12" s="2" t="inlineStr">
        <is>
          <t>Gateway</t>
        </is>
      </c>
      <c r="C12" s="2" t="inlineStr">
        <is>
          <t>Low</t>
        </is>
      </c>
      <c r="D12" s="2" t="inlineStr">
        <is>
          <t>Layer 3</t>
        </is>
      </c>
      <c r="E12" s="2" t="inlineStr">
        <is>
          <t>high</t>
        </is>
      </c>
      <c r="F12" s="2" t="inlineStr">
        <is>
          <t>Yes</t>
        </is>
      </c>
      <c r="G12" s="2" t="inlineStr">
        <is>
          <t>Accepted</t>
        </is>
      </c>
    </row>
    <row r="13">
      <c r="A13" s="2" t="inlineStr">
        <is>
          <t>C012</t>
        </is>
      </c>
      <c r="B13" s="2" t="inlineStr">
        <is>
          <t>DHCP</t>
        </is>
      </c>
      <c r="C13" s="2" t="inlineStr">
        <is>
          <t>High</t>
        </is>
      </c>
      <c r="D13" s="2" t="inlineStr">
        <is>
          <t>Layer 3</t>
        </is>
      </c>
      <c r="E13" s="2" t="inlineStr">
        <is>
          <t>high</t>
        </is>
      </c>
      <c r="F13" s="2" t="inlineStr">
        <is>
          <t>Yes</t>
        </is>
      </c>
      <c r="G13" s="2" t="inlineStr">
        <is>
          <t>Accepted</t>
        </is>
      </c>
    </row>
    <row r="14">
      <c r="A14" s="2" t="inlineStr">
        <is>
          <t>C013</t>
        </is>
      </c>
      <c r="B14" s="2" t="inlineStr">
        <is>
          <t>DHCP</t>
        </is>
      </c>
      <c r="C14" s="2" t="inlineStr">
        <is>
          <t>Medium</t>
        </is>
      </c>
      <c r="D14" s="2" t="inlineStr">
        <is>
          <t>Layer 3</t>
        </is>
      </c>
      <c r="E14" s="2" t="inlineStr">
        <is>
          <t>high</t>
        </is>
      </c>
      <c r="F14" s="2" t="inlineStr">
        <is>
          <t>Yes</t>
        </is>
      </c>
      <c r="G14" s="2" t="inlineStr">
        <is>
          <t>Accepted</t>
        </is>
      </c>
    </row>
    <row r="15">
      <c r="A15" s="2" t="inlineStr">
        <is>
          <t>C014</t>
        </is>
      </c>
      <c r="B15" s="2" t="inlineStr">
        <is>
          <t>DHCP</t>
        </is>
      </c>
      <c r="C15" s="2" t="inlineStr">
        <is>
          <t>Medium</t>
        </is>
      </c>
      <c r="D15" s="2" t="inlineStr">
        <is>
          <t>Layer 3</t>
        </is>
      </c>
      <c r="E15" s="2" t="inlineStr">
        <is>
          <t>medium</t>
        </is>
      </c>
      <c r="F15" s="2" t="inlineStr">
        <is>
          <t>Yes</t>
        </is>
      </c>
      <c r="G15" s="2" t="inlineStr">
        <is>
          <t>Accepted</t>
        </is>
      </c>
    </row>
    <row r="16">
      <c r="A16" s="2" t="inlineStr">
        <is>
          <t>C015</t>
        </is>
      </c>
      <c r="B16" s="2" t="inlineStr">
        <is>
          <t>DHCP</t>
        </is>
      </c>
      <c r="C16" s="2" t="inlineStr">
        <is>
          <t>Low</t>
        </is>
      </c>
      <c r="D16" s="2" t="inlineStr">
        <is>
          <t>Layer 3</t>
        </is>
      </c>
      <c r="E16" s="2" t="inlineStr">
        <is>
          <t>high</t>
        </is>
      </c>
      <c r="F16" s="2" t="inlineStr">
        <is>
          <t>Yes</t>
        </is>
      </c>
      <c r="G16" s="2" t="inlineStr">
        <is>
          <t>Accepted</t>
        </is>
      </c>
    </row>
    <row r="17">
      <c r="A17" s="2" t="inlineStr">
        <is>
          <t>C016</t>
        </is>
      </c>
      <c r="B17" s="2" t="inlineStr">
        <is>
          <t>DHCP</t>
        </is>
      </c>
      <c r="C17" s="2" t="inlineStr">
        <is>
          <t>High</t>
        </is>
      </c>
      <c r="D17" s="2" t="inlineStr">
        <is>
          <t>Layer 3</t>
        </is>
      </c>
      <c r="E17" s="2" t="inlineStr">
        <is>
          <t>low</t>
        </is>
      </c>
      <c r="F17" s="2" t="inlineStr">
        <is>
          <t>No</t>
        </is>
      </c>
      <c r="G17" s="2" t="inlineStr">
        <is>
          <t>Rejected</t>
        </is>
      </c>
    </row>
    <row r="18">
      <c r="A18" s="2" t="inlineStr">
        <is>
          <t>C017</t>
        </is>
      </c>
      <c r="B18" s="2" t="inlineStr">
        <is>
          <t>DNS</t>
        </is>
      </c>
      <c r="C18" s="2" t="inlineStr">
        <is>
          <t>Medium</t>
        </is>
      </c>
      <c r="D18" s="2" t="inlineStr">
        <is>
          <t>Layer 7</t>
        </is>
      </c>
      <c r="E18" s="2" t="inlineStr">
        <is>
          <t>high</t>
        </is>
      </c>
      <c r="F18" s="2" t="inlineStr">
        <is>
          <t>Yes</t>
        </is>
      </c>
      <c r="G18" s="2" t="inlineStr">
        <is>
          <t>Accepted</t>
        </is>
      </c>
    </row>
    <row r="19">
      <c r="A19" s="2" t="inlineStr">
        <is>
          <t>C018</t>
        </is>
      </c>
      <c r="B19" s="2" t="inlineStr">
        <is>
          <t>DNS</t>
        </is>
      </c>
      <c r="C19" s="2" t="inlineStr">
        <is>
          <t>Medium</t>
        </is>
      </c>
      <c r="D19" s="2" t="inlineStr">
        <is>
          <t>Layer 7</t>
        </is>
      </c>
      <c r="E19" s="2" t="inlineStr">
        <is>
          <t>high</t>
        </is>
      </c>
      <c r="F19" s="2" t="inlineStr">
        <is>
          <t>Yes</t>
        </is>
      </c>
      <c r="G19" s="2" t="inlineStr">
        <is>
          <t>Accepted</t>
        </is>
      </c>
    </row>
    <row r="20">
      <c r="A20" s="2" t="inlineStr">
        <is>
          <t>C019</t>
        </is>
      </c>
      <c r="B20" s="2" t="inlineStr">
        <is>
          <t>DNS</t>
        </is>
      </c>
      <c r="C20" s="2" t="inlineStr">
        <is>
          <t>Low</t>
        </is>
      </c>
      <c r="D20" s="2" t="inlineStr">
        <is>
          <t>Layer 7</t>
        </is>
      </c>
      <c r="E20" s="2" t="inlineStr">
        <is>
          <t>low</t>
        </is>
      </c>
      <c r="F20" s="2" t="inlineStr">
        <is>
          <t>No</t>
        </is>
      </c>
      <c r="G20" s="2" t="inlineStr">
        <is>
          <t>Rejected</t>
        </is>
      </c>
    </row>
    <row r="21">
      <c r="A21" s="2" t="inlineStr">
        <is>
          <t>C020</t>
        </is>
      </c>
      <c r="B21" s="2" t="inlineStr">
        <is>
          <t>DNS</t>
        </is>
      </c>
      <c r="C21" s="2" t="inlineStr">
        <is>
          <t>Medium</t>
        </is>
      </c>
      <c r="D21" s="2" t="inlineStr">
        <is>
          <t>Layer 7</t>
        </is>
      </c>
      <c r="E21" s="2" t="inlineStr">
        <is>
          <t>high</t>
        </is>
      </c>
      <c r="F21" s="2" t="inlineStr">
        <is>
          <t>Yes</t>
        </is>
      </c>
      <c r="G21" s="2" t="inlineStr">
        <is>
          <t>Accepted</t>
        </is>
      </c>
    </row>
    <row r="22">
      <c r="A22" s="2" t="inlineStr">
        <is>
          <t>C021</t>
        </is>
      </c>
      <c r="B22" s="2" t="inlineStr">
        <is>
          <t>Routing</t>
        </is>
      </c>
      <c r="C22" s="2" t="inlineStr">
        <is>
          <t>High</t>
        </is>
      </c>
      <c r="D22" s="2" t="inlineStr">
        <is>
          <t>Layer 3</t>
        </is>
      </c>
      <c r="E22" s="2" t="inlineStr">
        <is>
          <t>high</t>
        </is>
      </c>
      <c r="F22" s="2" t="inlineStr">
        <is>
          <t>Yes</t>
        </is>
      </c>
      <c r="G22" s="2" t="inlineStr">
        <is>
          <t>Accepted</t>
        </is>
      </c>
    </row>
    <row r="23">
      <c r="A23" s="2" t="inlineStr">
        <is>
          <t>C022</t>
        </is>
      </c>
      <c r="B23" s="2" t="inlineStr">
        <is>
          <t>Routing</t>
        </is>
      </c>
      <c r="C23" s="2" t="inlineStr">
        <is>
          <t>High</t>
        </is>
      </c>
      <c r="D23" s="2" t="inlineStr">
        <is>
          <t>Layer 3</t>
        </is>
      </c>
      <c r="E23" s="2" t="inlineStr">
        <is>
          <t>medium</t>
        </is>
      </c>
      <c r="F23" s="2" t="inlineStr">
        <is>
          <t>No</t>
        </is>
      </c>
      <c r="G23" s="2" t="inlineStr">
        <is>
          <t>Edited</t>
        </is>
      </c>
    </row>
    <row r="24">
      <c r="A24" s="2" t="inlineStr">
        <is>
          <t>C023</t>
        </is>
      </c>
      <c r="B24" s="2" t="inlineStr">
        <is>
          <t>Routing</t>
        </is>
      </c>
      <c r="C24" s="2" t="inlineStr">
        <is>
          <t>Medium</t>
        </is>
      </c>
      <c r="D24" s="2" t="inlineStr">
        <is>
          <t>Layer 3</t>
        </is>
      </c>
      <c r="E24" s="2" t="inlineStr">
        <is>
          <t>high</t>
        </is>
      </c>
      <c r="F24" s="2" t="inlineStr">
        <is>
          <t>Yes</t>
        </is>
      </c>
      <c r="G24" s="2" t="inlineStr">
        <is>
          <t>Accepted</t>
        </is>
      </c>
    </row>
    <row r="25">
      <c r="A25" s="2" t="inlineStr">
        <is>
          <t>C024</t>
        </is>
      </c>
      <c r="B25" s="2" t="inlineStr">
        <is>
          <t>Routing</t>
        </is>
      </c>
      <c r="C25" s="2" t="inlineStr">
        <is>
          <t>High</t>
        </is>
      </c>
      <c r="D25" s="2" t="inlineStr">
        <is>
          <t>Layer 3</t>
        </is>
      </c>
      <c r="E25" s="2" t="inlineStr">
        <is>
          <t>high</t>
        </is>
      </c>
      <c r="F25" s="2" t="inlineStr">
        <is>
          <t>Yes</t>
        </is>
      </c>
      <c r="G25" s="2" t="inlineStr">
        <is>
          <t>Accepted</t>
        </is>
      </c>
    </row>
    <row r="26">
      <c r="A26" s="2" t="inlineStr">
        <is>
          <t>C025</t>
        </is>
      </c>
      <c r="B26" s="2" t="inlineStr">
        <is>
          <t>Routing</t>
        </is>
      </c>
      <c r="C26" s="2" t="inlineStr">
        <is>
          <t>Medium</t>
        </is>
      </c>
      <c r="D26" s="2" t="inlineStr">
        <is>
          <t>Layer 1/2</t>
        </is>
      </c>
      <c r="E26" s="2" t="inlineStr">
        <is>
          <t>high</t>
        </is>
      </c>
      <c r="F26" s="2" t="inlineStr">
        <is>
          <t>Yes</t>
        </is>
      </c>
      <c r="G26" s="2" t="inlineStr">
        <is>
          <t>Edited</t>
        </is>
      </c>
    </row>
    <row r="27">
      <c r="A27" s="2" t="inlineStr">
        <is>
          <t>C026</t>
        </is>
      </c>
      <c r="B27" s="2" t="inlineStr">
        <is>
          <t>Routing</t>
        </is>
      </c>
      <c r="C27" s="2" t="inlineStr">
        <is>
          <t>Medium</t>
        </is>
      </c>
      <c r="D27" s="2" t="inlineStr">
        <is>
          <t>Layer 3</t>
        </is>
      </c>
      <c r="E27" s="2" t="inlineStr">
        <is>
          <t>medium</t>
        </is>
      </c>
      <c r="F27" s="2" t="inlineStr">
        <is>
          <t>No</t>
        </is>
      </c>
      <c r="G27" s="2" t="inlineStr">
        <is>
          <t>Rejected</t>
        </is>
      </c>
    </row>
    <row r="28">
      <c r="A28" s="2" t="inlineStr">
        <is>
          <t>C027</t>
        </is>
      </c>
      <c r="B28" s="2" t="inlineStr">
        <is>
          <t>ACL</t>
        </is>
      </c>
      <c r="C28" s="2" t="inlineStr">
        <is>
          <t>High</t>
        </is>
      </c>
      <c r="D28" s="2" t="inlineStr">
        <is>
          <t>Layer 3/4</t>
        </is>
      </c>
      <c r="E28" s="2" t="inlineStr">
        <is>
          <t>high</t>
        </is>
      </c>
      <c r="F28" s="2" t="inlineStr">
        <is>
          <t>Yes</t>
        </is>
      </c>
      <c r="G28" s="2" t="inlineStr">
        <is>
          <t>Accepted</t>
        </is>
      </c>
    </row>
    <row r="29">
      <c r="A29" s="2" t="inlineStr">
        <is>
          <t>C028</t>
        </is>
      </c>
      <c r="B29" s="2" t="inlineStr">
        <is>
          <t>ACL</t>
        </is>
      </c>
      <c r="C29" s="2" t="inlineStr">
        <is>
          <t>Medium</t>
        </is>
      </c>
      <c r="D29" s="2" t="inlineStr">
        <is>
          <t>Layer 3</t>
        </is>
      </c>
      <c r="E29" s="2" t="inlineStr">
        <is>
          <t>high</t>
        </is>
      </c>
      <c r="F29" s="2" t="inlineStr">
        <is>
          <t>Yes</t>
        </is>
      </c>
      <c r="G29" s="2" t="inlineStr">
        <is>
          <t>Accepted</t>
        </is>
      </c>
    </row>
    <row r="30">
      <c r="A30" s="2" t="inlineStr">
        <is>
          <t>C029</t>
        </is>
      </c>
      <c r="B30" s="2" t="inlineStr">
        <is>
          <t>ACL</t>
        </is>
      </c>
      <c r="C30" s="2" t="inlineStr">
        <is>
          <t>Medium</t>
        </is>
      </c>
      <c r="D30" s="2" t="inlineStr">
        <is>
          <t>Layer 4</t>
        </is>
      </c>
      <c r="E30" s="2" t="inlineStr">
        <is>
          <t>medium</t>
        </is>
      </c>
      <c r="F30" s="2" t="inlineStr">
        <is>
          <t>No</t>
        </is>
      </c>
      <c r="G30" s="2" t="inlineStr">
        <is>
          <t>Edited</t>
        </is>
      </c>
    </row>
    <row r="31">
      <c r="A31" s="2" t="inlineStr">
        <is>
          <t>C030</t>
        </is>
      </c>
      <c r="B31" s="2" t="inlineStr">
        <is>
          <t>ACL</t>
        </is>
      </c>
      <c r="C31" s="2" t="inlineStr">
        <is>
          <t>High</t>
        </is>
      </c>
      <c r="D31" s="2" t="inlineStr">
        <is>
          <t>Layer 3</t>
        </is>
      </c>
      <c r="E31" s="2" t="inlineStr">
        <is>
          <t>high</t>
        </is>
      </c>
      <c r="F31" s="2" t="inlineStr">
        <is>
          <t>Yes</t>
        </is>
      </c>
      <c r="G31" s="2" t="inlineStr">
        <is>
          <t>Accepted</t>
        </is>
      </c>
    </row>
    <row r="32">
      <c r="A32" s="2" t="inlineStr">
        <is>
          <t>C031</t>
        </is>
      </c>
      <c r="B32" s="2" t="inlineStr">
        <is>
          <t>NAT</t>
        </is>
      </c>
      <c r="C32" s="2" t="inlineStr">
        <is>
          <t>High</t>
        </is>
      </c>
      <c r="D32" s="2" t="inlineStr">
        <is>
          <t>Layer 3</t>
        </is>
      </c>
      <c r="E32" s="2" t="inlineStr">
        <is>
          <t>high</t>
        </is>
      </c>
      <c r="F32" s="2" t="inlineStr">
        <is>
          <t>Yes</t>
        </is>
      </c>
      <c r="G32" s="2" t="inlineStr">
        <is>
          <t>Accepted</t>
        </is>
      </c>
    </row>
    <row r="33">
      <c r="A33" s="2" t="inlineStr">
        <is>
          <t>C032</t>
        </is>
      </c>
      <c r="B33" s="2" t="inlineStr">
        <is>
          <t>NAT</t>
        </is>
      </c>
      <c r="C33" s="2" t="inlineStr">
        <is>
          <t>Medium</t>
        </is>
      </c>
      <c r="D33" s="2" t="inlineStr">
        <is>
          <t>Layer 4</t>
        </is>
      </c>
      <c r="E33" s="2" t="inlineStr">
        <is>
          <t>low</t>
        </is>
      </c>
      <c r="F33" s="2" t="inlineStr">
        <is>
          <t>No</t>
        </is>
      </c>
      <c r="G33" s="2" t="inlineStr">
        <is>
          <t>Rejected</t>
        </is>
      </c>
    </row>
    <row r="34">
      <c r="A34" s="2" t="inlineStr">
        <is>
          <t>C033</t>
        </is>
      </c>
      <c r="B34" s="2" t="inlineStr">
        <is>
          <t>NAT</t>
        </is>
      </c>
      <c r="C34" s="2" t="inlineStr">
        <is>
          <t>Medium</t>
        </is>
      </c>
      <c r="D34" s="2" t="inlineStr">
        <is>
          <t>Layer 3</t>
        </is>
      </c>
      <c r="E34" s="2" t="inlineStr">
        <is>
          <t>high</t>
        </is>
      </c>
      <c r="F34" s="2" t="inlineStr">
        <is>
          <t>Yes</t>
        </is>
      </c>
      <c r="G34" s="2" t="inlineStr">
        <is>
          <t>Accepted</t>
        </is>
      </c>
    </row>
    <row r="35">
      <c r="A35" s="2" t="inlineStr">
        <is>
          <t>C034</t>
        </is>
      </c>
      <c r="B35" s="2" t="inlineStr">
        <is>
          <t>Wireless</t>
        </is>
      </c>
      <c r="C35" s="2" t="inlineStr">
        <is>
          <t>Medium</t>
        </is>
      </c>
      <c r="D35" s="2" t="inlineStr">
        <is>
          <t>Layer 3</t>
        </is>
      </c>
      <c r="E35" s="2" t="inlineStr">
        <is>
          <t>high</t>
        </is>
      </c>
      <c r="F35" s="2" t="inlineStr">
        <is>
          <t>Yes</t>
        </is>
      </c>
      <c r="G35" s="2" t="inlineStr">
        <is>
          <t>Accepted</t>
        </is>
      </c>
    </row>
    <row r="36">
      <c r="A36" s="2" t="inlineStr">
        <is>
          <t>C035</t>
        </is>
      </c>
      <c r="B36" s="2" t="inlineStr">
        <is>
          <t>Wireless</t>
        </is>
      </c>
      <c r="C36" s="2" t="inlineStr">
        <is>
          <t>Low</t>
        </is>
      </c>
      <c r="D36" s="2" t="inlineStr">
        <is>
          <t>Layer 1</t>
        </is>
      </c>
      <c r="E36" s="2" t="inlineStr">
        <is>
          <t>high</t>
        </is>
      </c>
      <c r="F36" s="2" t="inlineStr">
        <is>
          <t>Yes</t>
        </is>
      </c>
      <c r="G36" s="2" t="inlineStr">
        <is>
          <t>Accepted</t>
        </is>
      </c>
    </row>
    <row r="37">
      <c r="A37" s="2" t="inlineStr">
        <is>
          <t>C036</t>
        </is>
      </c>
      <c r="B37" s="2" t="inlineStr">
        <is>
          <t>Wireless</t>
        </is>
      </c>
      <c r="C37" s="2" t="inlineStr">
        <is>
          <t>High</t>
        </is>
      </c>
      <c r="D37" s="2" t="inlineStr">
        <is>
          <t>Layer 3</t>
        </is>
      </c>
      <c r="E37" s="2" t="inlineStr">
        <is>
          <t>medium</t>
        </is>
      </c>
      <c r="F37" s="2" t="inlineStr">
        <is>
          <t>Yes</t>
        </is>
      </c>
      <c r="G37" s="2" t="inlineStr">
        <is>
          <t>Accepted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3" customWidth="1" min="4" max="4"/>
    <col width="14" customWidth="1" min="5" max="5"/>
    <col width="12" customWidth="1" min="6" max="6"/>
  </cols>
  <sheetData>
    <row r="2">
      <c r="B2" s="3" t="inlineStr">
        <is>
          <t>NetSage AI — Case Dashboard</t>
        </is>
      </c>
    </row>
    <row r="3">
      <c r="B3" s="4" t="inlineStr">
        <is>
          <t>All figures below are live formulas over the 'Raw Data' sheet.</t>
        </is>
      </c>
    </row>
    <row r="5">
      <c r="B5" s="5" t="inlineStr">
        <is>
          <t>Issue Type</t>
        </is>
      </c>
      <c r="C5" s="5" t="inlineStr">
        <is>
          <t>Case Count</t>
        </is>
      </c>
      <c r="E5" s="5" t="inlineStr">
        <is>
          <t>Severity</t>
        </is>
      </c>
      <c r="F5" s="5" t="inlineStr">
        <is>
          <t>Case Count</t>
        </is>
      </c>
    </row>
    <row r="6">
      <c r="B6" s="2" t="inlineStr">
        <is>
          <t>VLAN</t>
        </is>
      </c>
      <c r="C6" s="2">
        <f>COUNTIF('Raw Data'!B2:B37,B6)</f>
        <v/>
      </c>
      <c r="E6" s="2" t="inlineStr">
        <is>
          <t>High</t>
        </is>
      </c>
      <c r="F6" s="2">
        <f>COUNTIF('Raw Data'!C2:C37,E6)</f>
        <v/>
      </c>
    </row>
    <row r="7">
      <c r="B7" s="2" t="inlineStr">
        <is>
          <t>Gateway</t>
        </is>
      </c>
      <c r="C7" s="2">
        <f>COUNTIF('Raw Data'!B2:B37,B7)</f>
        <v/>
      </c>
      <c r="E7" s="2" t="inlineStr">
        <is>
          <t>Medium</t>
        </is>
      </c>
      <c r="F7" s="2">
        <f>COUNTIF('Raw Data'!C2:C37,E7)</f>
        <v/>
      </c>
    </row>
    <row r="8">
      <c r="B8" s="2" t="inlineStr">
        <is>
          <t>DHCP</t>
        </is>
      </c>
      <c r="C8" s="2">
        <f>COUNTIF('Raw Data'!B2:B37,B8)</f>
        <v/>
      </c>
      <c r="E8" s="2" t="inlineStr">
        <is>
          <t>Low</t>
        </is>
      </c>
      <c r="F8" s="2">
        <f>COUNTIF('Raw Data'!C2:C37,E8)</f>
        <v/>
      </c>
    </row>
    <row r="9">
      <c r="B9" s="2" t="inlineStr">
        <is>
          <t>DNS</t>
        </is>
      </c>
      <c r="C9" s="2">
        <f>COUNTIF('Raw Data'!B2:B37,B9)</f>
        <v/>
      </c>
      <c r="E9" s="6" t="inlineStr">
        <is>
          <t>Total</t>
        </is>
      </c>
      <c r="F9" s="6">
        <f>SUM(F6:F8)</f>
        <v/>
      </c>
    </row>
    <row r="10">
      <c r="B10" s="2" t="inlineStr">
        <is>
          <t>Routing</t>
        </is>
      </c>
      <c r="C10" s="2">
        <f>COUNTIF('Raw Data'!B2:B37,B10)</f>
        <v/>
      </c>
    </row>
    <row r="11">
      <c r="B11" s="2" t="inlineStr">
        <is>
          <t>ACL</t>
        </is>
      </c>
      <c r="C11" s="2">
        <f>COUNTIF('Raw Data'!B2:B37,B11)</f>
        <v/>
      </c>
    </row>
    <row r="12">
      <c r="B12" s="2" t="inlineStr">
        <is>
          <t>NAT</t>
        </is>
      </c>
      <c r="C12" s="2">
        <f>COUNTIF('Raw Data'!B2:B37,B12)</f>
        <v/>
      </c>
    </row>
    <row r="13">
      <c r="B13" s="2" t="inlineStr">
        <is>
          <t>Wireless</t>
        </is>
      </c>
      <c r="C13" s="2">
        <f>COUNTIF('Raw Data'!B2:B37,B13)</f>
        <v/>
      </c>
    </row>
    <row r="14">
      <c r="B14" s="6" t="inlineStr">
        <is>
          <t>Total</t>
        </is>
      </c>
      <c r="C14" s="6">
        <f>SUM(C6:C13)</f>
        <v/>
      </c>
    </row>
    <row r="17">
      <c r="B17" s="5" t="inlineStr">
        <is>
          <t>Review Status</t>
        </is>
      </c>
      <c r="C17" s="5" t="inlineStr">
        <is>
          <t>Case Count</t>
        </is>
      </c>
    </row>
    <row r="18">
      <c r="B18" s="2" t="inlineStr">
        <is>
          <t>Accepted</t>
        </is>
      </c>
      <c r="C18" s="2">
        <f>COUNTIF('Raw Data'!G2:G37,B18)</f>
        <v/>
      </c>
    </row>
    <row r="19">
      <c r="B19" s="2" t="inlineStr">
        <is>
          <t>Edited</t>
        </is>
      </c>
      <c r="C19" s="2">
        <f>COUNTIF('Raw Data'!G2:G37,B19)</f>
        <v/>
      </c>
    </row>
    <row r="20">
      <c r="B20" s="2" t="inlineStr">
        <is>
          <t>Rejected</t>
        </is>
      </c>
      <c r="C20" s="2">
        <f>COUNTIF('Raw Data'!G2:G37,B20)</f>
        <v/>
      </c>
    </row>
    <row r="21">
      <c r="B21" s="6" t="inlineStr">
        <is>
          <t>Total</t>
        </is>
      </c>
      <c r="C21" s="6">
        <f>SUM(C18:C20)</f>
        <v/>
      </c>
    </row>
    <row r="23">
      <c r="B23" s="6" t="inlineStr">
        <is>
          <t>AI vs. Known-Correct Agreement</t>
        </is>
      </c>
      <c r="C23" s="7" t="n"/>
    </row>
    <row r="24">
      <c r="B24" s="2" t="inlineStr">
        <is>
          <t>Cases where AI matched expected fault</t>
        </is>
      </c>
      <c r="C24" s="2">
        <f>COUNTIF('Raw Data'!F2:F37,"Yes")</f>
        <v/>
      </c>
    </row>
    <row r="25">
      <c r="B25" s="2" t="inlineStr">
        <is>
          <t>Total cases</t>
        </is>
      </c>
      <c r="C25" s="2">
        <f>COUNTA('Raw Data'!A2:A37)</f>
        <v/>
      </c>
    </row>
    <row r="26">
      <c r="B26" s="6" t="inlineStr">
        <is>
          <t>Agreement rate</t>
        </is>
      </c>
      <c r="C26" s="8">
        <f>C24/C25</f>
        <v/>
      </c>
    </row>
    <row r="27">
      <c r="B27" s="7" t="n"/>
      <c r="C27" s="7" t="n"/>
    </row>
    <row r="28">
      <c r="B28" s="2" t="inlineStr">
        <is>
          <t>Human-corrected cases (Edited + Rejected)</t>
        </is>
      </c>
      <c r="C28" s="2">
        <f>C19+C20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2026-09-27T15:56:53Z</dcterms:created>
  <dcterms:modified xmlns:dcterms="http://purl.org/dc/terms/" xmlns:xsi="http://www.w3.org/2001/XMLSchema-instance" xsi:type="dcterms:W3CDTF">2026-09-27T15:56:53Z</dcterms:modified>
</cp:coreProperties>
</file>